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est Cases" sheetId="2" state="visible" r:id="rId4"/>
    <sheet name="Chi tiết bước" sheetId="3" state="visible" r:id="rId5"/>
  </sheets>
  <definedNames>
    <definedName function="false" hidden="true" localSheetId="2" name="_xlnm._FilterDatabase" vbProcedure="false">'Chi tiết bước'!$A$1:$E$52</definedName>
    <definedName function="false" hidden="true" localSheetId="1" name="_xlnm._FilterDatabase" vbProcedure="false">'Test Cases'!$A$1:$K$15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<sst xmlns="http://schemas.openxmlformats.org/spreadsheetml/2006/main" count="372" uniqueCount="215">
  <si>
    <t xml:space="preserve">Kallo Backend – Test case module Auth</t>
  </si>
  <si>
    <t xml:space="preserve">Nguồn: github.com/tranductrung04/kallo-backend, nhánh feat/auth (src/test/java). Chỉ liệt kê test đã có trong source, chưa chạy test.</t>
  </si>
  <si>
    <t xml:space="preserve">Chỉ tiêu</t>
  </si>
  <si>
    <t xml:space="preserve">Giá trị</t>
  </si>
  <si>
    <t xml:space="preserve">Tổng số test case</t>
  </si>
  <si>
    <t xml:space="preserve">Controller / Unit test (AuthControllerTest)</t>
  </si>
  <si>
    <t xml:space="preserve">Integration test (AuthFlowIntegrationTest)</t>
  </si>
  <si>
    <t xml:space="preserve">Tổng số bước / assertion nhóm</t>
  </si>
  <si>
    <t xml:space="preserve">Ghi chú</t>
  </si>
  <si>
    <t xml:space="preserve">• TestProtectedController (profile test) là controller hỗ trợ, cung cấp GET /api/test/protected cho AUTH-INT-01; không phải test case.</t>
  </si>
  <si>
    <t xml:space="preserve">• Integration test dùng Testcontainers (PostgreSQL 17) nên cần Docker khi chạy.</t>
  </si>
  <si>
    <t xml:space="preserve">• Cột “Các bước” và sheet “Chi tiết bước” được diễn giải từ code test (request và assertion), bằng tiếng Việt.</t>
  </si>
  <si>
    <t xml:space="preserve">TC ID</t>
  </si>
  <si>
    <t xml:space="preserve">Test class</t>
  </si>
  <si>
    <t xml:space="preserve">Test method</t>
  </si>
  <si>
    <t xml:space="preserve">Loại test</t>
  </si>
  <si>
    <t xml:space="preserve">Endpoint / đối tượng</t>
  </si>
  <si>
    <t xml:space="preserve">Mô tả</t>
  </si>
  <si>
    <t xml:space="preserve">Điều kiện tiên quyết</t>
  </si>
  <si>
    <t xml:space="preserve">Các bước thực hiện</t>
  </si>
  <si>
    <t xml:space="preserve">Kết quả mong đợi</t>
  </si>
  <si>
    <t xml:space="preserve">Số bước</t>
  </si>
  <si>
    <t xml:space="preserve">Vị trí trong source</t>
  </si>
  <si>
    <t xml:space="preserve">AUTH-CTRL-01</t>
  </si>
  <si>
    <t xml:space="preserve">AuthControllerTest.java</t>
  </si>
  <si>
    <t xml:space="preserve">registerRejectsInvalidPasswordWithFieldDetails</t>
  </si>
  <si>
    <t xml:space="preserve">Controller (WebMvcTest, mock service)</t>
  </si>
  <si>
    <t xml:space="preserve">POST /api/auth/register</t>
  </si>
  <si>
    <t xml:space="preserve">Đăng ký với dữ liệu không hợp lệ phải bị từ chối và trả chi tiết lỗi theo từng field.</t>
  </si>
  <si>
    <t xml:space="preserve">AuthService được mock; filter bảo mật tắt (addFilters=false).</t>
  </si>
  <si>
    <t xml:space="preserve">1. POST /api/auth/register với email="not-an-email", password="short", displayName=""
2. Kiểm tra body</t>
  </si>
  <si>
    <t xml:space="preserve">400 VALIDATION_ERROR, details có email và password.</t>
  </si>
  <si>
    <t xml:space="preserve">src/test/java/com/healthcare/kallo/controller/AuthControllerTest.java:29</t>
  </si>
  <si>
    <t xml:space="preserve">AUTH-CTRL-02</t>
  </si>
  <si>
    <t xml:space="preserve">passwordToStringIsRedacted</t>
  </si>
  <si>
    <t xml:space="preserve">Unit</t>
  </si>
  <si>
    <t xml:space="preserve">LoginRequest.toString()</t>
  </si>
  <si>
    <t xml:space="preserve">toString() của LoginRequest không được lộ mật khẩu (tránh rò rỉ qua log).</t>
  </si>
  <si>
    <t xml:space="preserve">Không cần.</t>
  </si>
  <si>
    <t xml:space="preserve">1. Tạo LoginRequest("user@example.com", "Password1")
2. Gọi toString()</t>
  </si>
  <si>
    <t xml:space="preserve">Chuỗi toString không chứa mật khẩu gốc.</t>
  </si>
  <si>
    <t xml:space="preserve">src/test/java/com/healthcare/kallo/controller/AuthControllerTest.java:46</t>
  </si>
  <si>
    <t xml:space="preserve">AUTH-CTRL-03</t>
  </si>
  <si>
    <t xml:space="preserve">registerReturnsCreatedAuthResponse</t>
  </si>
  <si>
    <t xml:space="preserve">Đăng ký hợp lệ trả 201 cùng AuthResponse do service tạo ra.</t>
  </si>
  <si>
    <t xml:space="preserve">authService.register(any()) trả AuthResponse(access, refresh, Bearer, 900, UserSummary, false).</t>
  </si>
  <si>
    <t xml:space="preserve">1. POST /api/auth/register với {email:user@example.com, password:Password1, displayName:User}
2. Kiểm tra body</t>
  </si>
  <si>
    <t xml:space="preserve">201, success=true, có accessToken và thông tin user.</t>
  </si>
  <si>
    <t xml:space="preserve">src/test/java/com/healthcare/kallo/controller/AuthControllerTest.java:53</t>
  </si>
  <si>
    <t xml:space="preserve">AUTH-CTRL-04</t>
  </si>
  <si>
    <t xml:space="preserve">changePasswordValidationUsesRequestFieldNames</t>
  </si>
  <si>
    <t xml:space="preserve">POST /api/auth/change-password</t>
  </si>
  <si>
    <t xml:space="preserve">Lỗi validate của change-password phải gắn đúng tên field của request, không lộ tên method @AssertTrue nội bộ.</t>
  </si>
  <si>
    <t xml:space="preserve">AuthService được mock; filter bảo mật tắt.</t>
  </si>
  <si>
    <t xml:space="preserve">1. POST /api/auth/change-password với currentPassword = 73 ký tự "A", newPassword="NewPassword1"
2. Kiểm tra error.details.currentPassword
3. Kiểm tra error.details.currentPasswordWithinBcryptLimit</t>
  </si>
  <si>
    <t xml:space="preserve">400; details.currentPassword có, details.currentPasswordWithinBcryptLimit không có.</t>
  </si>
  <si>
    <t xml:space="preserve">src/test/java/com/healthcare/kallo/controller/AuthControllerTest.java:79</t>
  </si>
  <si>
    <t xml:space="preserve">AUTH-INT-01</t>
  </si>
  <si>
    <t xml:space="preserve">AuthFlowIntegrationTest.java</t>
  </si>
  <si>
    <t xml:space="preserve">registerThenLoginAndProtectApi</t>
  </si>
  <si>
    <t xml:space="preserve">Integration (SpringBootTest + Testcontainers PostgreSQL 17)</t>
  </si>
  <si>
    <t xml:space="preserve">/api/auth/register, /login, /change-password, /api/test/protected</t>
  </si>
  <si>
    <t xml:space="preserve">Luồng đăng ký → đăng nhập → truy cập API được bảo vệ; chặn email trùng không phân biệt hoa thường.</t>
  </si>
  <si>
    <t xml:space="preserve">DB PostgreSQL sạch (Testcontainers); profile test (có TestProtectedController).</t>
  </si>
  <si>
    <t xml:space="preserve">1. POST /api/auth/register user@example.com / Password1 / User
2. POST /api/auth/register USER@example.com (khác hoa/thường)
3. POST /api/auth/login user@example.com / Password1
4. GET /api/test/protected (không token)
5. POST /api/auth/change-password (không token)
6. GET /api/test/protected với Authorization: Bearer &lt;accessToken&gt;
7. POST /api/auth/change-password với Bearer token, Password1 → NewPassword1</t>
  </si>
  <si>
    <t xml:space="preserve">Đăng ký 201; email trùng 409; API bảo vệ chỉ truy cập được khi có Bearer token hợp lệ.</t>
  </si>
  <si>
    <t xml:space="preserve">src/test/java/com/healthcare/kallo/AuthFlowIntegrationTest.java:59</t>
  </si>
  <si>
    <t xml:space="preserve">AUTH-INT-02</t>
  </si>
  <si>
    <t xml:space="preserve">invalidCredentialsAndValidationBoundariesAreRejected</t>
  </si>
  <si>
    <t xml:space="preserve">POST /api/auth/register, /api/auth/login</t>
  </si>
  <si>
    <t xml:space="preserve">Sai mật khẩu bị từ chối; mật khẩu vượt giới hạn 72 byte UTF-8 bị từ chối dù ít hơn 72 ký tự.</t>
  </si>
  <si>
    <t xml:space="preserve">DB sạch.</t>
  </si>
  <si>
    <t xml:space="preserve">1. Đăng ký boundary@example.com / Pass1234 (đúng 8 ký tự)
2. Đăng nhập boundary@example.com / Wrong123
3. Đăng ký bytes@example.com với password = "Aa1" + 35 ký tự "á" (73 byte UTF-8)</t>
  </si>
  <si>
    <t xml:space="preserve">Biên 8 ký tự hợp lệ (201); sai mật khẩu 401; mật khẩu 73 byte 400.</t>
  </si>
  <si>
    <t xml:space="preserve">src/test/java/com/healthcare/kallo/AuthFlowIntegrationTest.java:143</t>
  </si>
  <si>
    <t xml:space="preserve">AUTH-INT-03</t>
  </si>
  <si>
    <t xml:space="preserve">refreshRotatesTokenAndLogoutRevokesIt</t>
  </si>
  <si>
    <t xml:space="preserve">POST /api/auth/register, /refresh, /logout</t>
  </si>
  <si>
    <t xml:space="preserve">Refresh token được xoay vòng (rotation) mỗi lần refresh; token cũ không dùng lại được; logout thu hồi token.</t>
  </si>
  <si>
    <t xml:space="preserve">1. Đăng ký rotation@example.com, lấy refreshToken cũ
2. POST /api/auth/refresh với token cũ
3. POST /api/auth/refresh lại với token cũ
4. POST /api/auth/refresh với token mới
5. POST /api/auth/logout với token mới nhất, allDevices=false
6. POST /api/auth/refresh với token đã logout</t>
  </si>
  <si>
    <t xml:space="preserve">Token cũ → 401 REFRESH_TOKEN_INVALID; token mới dùng được; sau logout token bị thu hồi.</t>
  </si>
  <si>
    <t xml:space="preserve">src/test/java/com/healthcare/kallo/AuthFlowIntegrationTest.java:185</t>
  </si>
  <si>
    <t xml:space="preserve">AUTH-INT-04</t>
  </si>
  <si>
    <t xml:space="preserve">changePasswordValidatesCredentialsAndRevokesOldSession</t>
  </si>
  <si>
    <t xml:space="preserve">POST /api/auth/change-password, /login, /refresh</t>
  </si>
  <si>
    <t xml:space="preserve">Đổi mật khẩu kiểm tra mật khẩu hiện tại và mật khẩu mới; sau khi đổi, phiên cũ bị thu hồi.</t>
  </si>
  <si>
    <t xml:space="preserve">User đã đăng ký (có accessToken và refreshToken).</t>
  </si>
  <si>
    <t xml:space="preserve">1. Đăng ký password-phase3@example.com, lấy access + refresh
2. change-password với currentPassword=Wrong123
3. change-password với newPassword trùng currentPassword (Password1)
4. change-password Password1 → NewPassword1
5. refresh với refresh token cũ
6. login với NewPassword1
7. refresh với refresh token mới</t>
  </si>
  <si>
    <t xml:space="preserve">Sai mật khẩu hiện tại 400; trùng mật khẩu cũ 400; đổi thành công 200 và refresh token cũ mất hiệu lực.</t>
  </si>
  <si>
    <t xml:space="preserve">src/test/java/com/healthcare/kallo/AuthFlowIntegrationTest.java:252</t>
  </si>
  <si>
    <t xml:space="preserve">AUTH-INT-05</t>
  </si>
  <si>
    <t xml:space="preserve">allDevicesAndDisabledUsersCannotRefresh</t>
  </si>
  <si>
    <t xml:space="preserve">POST /api/auth/logout, /refresh</t>
  </si>
  <si>
    <t xml:space="preserve">Logout allDevices=true thu hồi mọi phiên; user bị DISABLED không thể refresh.</t>
  </si>
  <si>
    <t xml:space="preserve">User có 2 phiên (đăng ký + đăng nhập).</t>
  </si>
  <si>
    <t xml:space="preserve">1. Đăng ký all-devices@example.com → firstRefresh
2. Đăng nhập lần 2 → secondRefresh
3. logout với firstRefresh, allDevices=true
4. refresh với secondRefresh
5. Đặt user.status=DISABLED trong DB, phát hành token mới bằng TokenService, refresh</t>
  </si>
  <si>
    <t xml:space="preserve">Sau logout toàn bộ thiết bị và sau khi bị vô hiệu hóa, refresh đều trả 401.</t>
  </si>
  <si>
    <t xml:space="preserve">src/test/java/com/healthcare/kallo/AuthFlowIntegrationTest.java:342</t>
  </si>
  <si>
    <t xml:space="preserve">AUTH-INT-06</t>
  </si>
  <si>
    <t xml:space="preserve">expiredRefreshAndGoogleWithoutPasswordAreRejected</t>
  </si>
  <si>
    <t xml:space="preserve">POST /api/auth/refresh, /change-password</t>
  </si>
  <si>
    <t xml:space="preserve">Refresh token hết hạn bị từ chối; tài khoản Google (chưa có mật khẩu) không thể đổi mật khẩu.</t>
  </si>
  <si>
    <t xml:space="preserve">1. Đăng ký expired-phase3@example.com, lấy refresh token
2. Đặt expiresAt của refresh token = hiện tại − 1 giây
3. refresh với token đã hết hạn
4. Tạo user Google (authProvider=GOOGLE, không có mật khẩu), phát hành access token
5. change-password với access token của user Google</t>
  </si>
  <si>
    <t xml:space="preserve">Token hết hạn 401; tài khoản Google đổi mật khẩu 400 PASSWORD_NOT_SET.</t>
  </si>
  <si>
    <t xml:space="preserve">src/test/java/com/healthcare/kallo/AuthFlowIntegrationTest.java:398</t>
  </si>
  <si>
    <t xml:space="preserve">AUTH-INT-07</t>
  </si>
  <si>
    <t xml:space="preserve">concurrentRefreshRequestsAcceptOnlyOneUseOfTheToken</t>
  </si>
  <si>
    <t xml:space="preserve">POST /api/auth/refresh</t>
  </si>
  <si>
    <t xml:space="preserve">Hai request refresh đồng thời cùng một token: chỉ một request được chấp nhận.</t>
  </si>
  <si>
    <t xml:space="preserve">User đã đăng ký, có refresh token.</t>
  </si>
  <si>
    <t xml:space="preserve">1. Đăng ký concurrent-phase3@example.com, lấy refresh token
2. Hai thread cùng gọi /refresh với cùng token (CountDownLatch để bắt đầu đồng thời)</t>
  </si>
  <si>
    <t xml:space="preserve">Hai status trả về gồm đúng một 200 và một 401.</t>
  </si>
  <si>
    <t xml:space="preserve">src/test/java/com/healthcare/kallo/AuthFlowIntegrationTest.java:451</t>
  </si>
  <si>
    <t xml:space="preserve">AUTH-INT-08</t>
  </si>
  <si>
    <t xml:space="preserve">refreshReuseAfterGraceRevokesFamily</t>
  </si>
  <si>
    <t xml:space="preserve">Dùng lại refresh token đã bị thu hồi sau khi quá thời gian grace → coi là reuse và thu hồi cả chuỗi (family) token.</t>
  </si>
  <si>
    <t xml:space="preserve">User đã đăng ký; đã xoay vòng 1 lần.</t>
  </si>
  <si>
    <t xml:space="preserve">1. Đăng ký grace-window@example.com, lấy token cũ
2. refresh với token cũ → token mới
3. Đặt revokedAt của token cũ = hiện tại − 30 giây (ngoài grace)
4. refresh lại với token cũ
5. refresh với token mới</t>
  </si>
  <si>
    <t xml:space="preserve">Cả token cũ và token mới đều bị 401.</t>
  </si>
  <si>
    <t xml:space="preserve">src/test/java/com/healthcare/kallo/AuthFlowIntegrationTest.java:480</t>
  </si>
  <si>
    <t xml:space="preserve">AUTH-INT-09</t>
  </si>
  <si>
    <t xml:space="preserve">logoutWithoutTokenIsStillNoContent</t>
  </si>
  <si>
    <t xml:space="preserve">POST /api/auth/logout</t>
  </si>
  <si>
    <t xml:space="preserve">Logout không gửi refresh token vẫn trả 204 (idempotent).</t>
  </si>
  <si>
    <t xml:space="preserve">1. POST /api/auth/logout với body {}</t>
  </si>
  <si>
    <t xml:space="preserve">204 No Content.</t>
  </si>
  <si>
    <t xml:space="preserve">src/test/java/com/healthcare/kallo/AuthFlowIntegrationTest.java:527</t>
  </si>
  <si>
    <t xml:space="preserve">AUTH-INT-10</t>
  </si>
  <si>
    <t xml:space="preserve">publicLoginIgnoresInvalidBearerHeader</t>
  </si>
  <si>
    <t xml:space="preserve">POST /api/auth/login</t>
  </si>
  <si>
    <t xml:space="preserve">Endpoint công khai bỏ qua header Authorization không hợp lệ và xử lý như bình thường.</t>
  </si>
  <si>
    <t xml:space="preserve">Email missing@example.com không tồn tại.</t>
  </si>
  <si>
    <t xml:space="preserve">1. POST /api/auth/login với header Authorization: Bearer invalid-signature, missing@example.com / Wrong123</t>
  </si>
  <si>
    <t xml:space="preserve">401 INVALID_CREDENTIALS (không phải lỗi token).</t>
  </si>
  <si>
    <t xml:space="preserve">src/test/java/com/healthcare/kallo/AuthFlowIntegrationTest.java:545</t>
  </si>
  <si>
    <t xml:space="preserve">Bước</t>
  </si>
  <si>
    <t xml:space="preserve">Hành động</t>
  </si>
  <si>
    <t xml:space="preserve">Kết quả mong đợi / Assertion</t>
  </si>
  <si>
    <t xml:space="preserve">POST /api/auth/register với email="not-an-email", password="short", displayName=""</t>
  </si>
  <si>
    <t xml:space="preserve">HTTP 400</t>
  </si>
  <si>
    <t xml:space="preserve">Kiểm tra body</t>
  </si>
  <si>
    <t xml:space="preserve">success=false; error.code=VALIDATION_ERROR; error.details.email tồn tại; error.details.password tồn tại</t>
  </si>
  <si>
    <t xml:space="preserve">Tạo LoginRequest("user@example.com", "Password1")</t>
  </si>
  <si>
    <t xml:space="preserve">-</t>
  </si>
  <si>
    <t xml:space="preserve">Gọi toString()</t>
  </si>
  <si>
    <t xml:space="preserve">Kết quả KHÔNG chứa "Password1"</t>
  </si>
  <si>
    <t xml:space="preserve">POST /api/auth/register với {email:user@example.com, password:Password1, displayName:User}</t>
  </si>
  <si>
    <t xml:space="preserve">HTTP 201</t>
  </si>
  <si>
    <t xml:space="preserve">success=true; data.accessToken="access"; data.user.email="user@example.com"</t>
  </si>
  <si>
    <t xml:space="preserve">POST /api/auth/change-password với currentPassword = 73 ký tự "A", newPassword="NewPassword1"</t>
  </si>
  <si>
    <t xml:space="preserve">Kiểm tra error.details.currentPassword</t>
  </si>
  <si>
    <t xml:space="preserve">Tồn tại</t>
  </si>
  <si>
    <t xml:space="preserve">Kiểm tra error.details.currentPasswordWithinBcryptLimit</t>
  </si>
  <si>
    <t xml:space="preserve">Không tồn tại</t>
  </si>
  <si>
    <t xml:space="preserve">POST /api/auth/register user@example.com / Password1 / User</t>
  </si>
  <si>
    <t xml:space="preserve">201; success=true; data.user.email=user@example.com; DB có user theo normalized email; createdAt != null</t>
  </si>
  <si>
    <t xml:space="preserve">POST /api/auth/register USER@example.com (khác hoa/thường)</t>
  </si>
  <si>
    <t xml:space="preserve">409 Conflict; số lượng user trong DB không đổi</t>
  </si>
  <si>
    <t xml:space="preserve">POST /api/auth/login user@example.com / Password1</t>
  </si>
  <si>
    <t xml:space="preserve">200; lấy data.accessToken</t>
  </si>
  <si>
    <t xml:space="preserve">GET /api/test/protected (không token)</t>
  </si>
  <si>
    <t xml:space="preserve">401; error.code=UNAUTHORIZED</t>
  </si>
  <si>
    <t xml:space="preserve">POST /api/auth/change-password (không token)</t>
  </si>
  <si>
    <t xml:space="preserve">401</t>
  </si>
  <si>
    <t xml:space="preserve">GET /api/test/protected với Authorization: Bearer &lt;accessToken&gt;</t>
  </si>
  <si>
    <t xml:space="preserve">200</t>
  </si>
  <si>
    <t xml:space="preserve">POST /api/auth/change-password với Bearer token, Password1 → NewPassword1</t>
  </si>
  <si>
    <t xml:space="preserve">Đăng ký boundary@example.com / Pass1234 (đúng 8 ký tự)</t>
  </si>
  <si>
    <t xml:space="preserve">201</t>
  </si>
  <si>
    <t xml:space="preserve">Đăng nhập boundary@example.com / Wrong123</t>
  </si>
  <si>
    <t xml:space="preserve">Đăng ký bytes@example.com với password = "Aa1" + 35 ký tự "á" (73 byte UTF-8)</t>
  </si>
  <si>
    <t xml:space="preserve">400; error.details.password tồn tại</t>
  </si>
  <si>
    <t xml:space="preserve">Đăng ký rotation@example.com, lấy refreshToken cũ</t>
  </si>
  <si>
    <t xml:space="preserve">POST /api/auth/refresh với token cũ</t>
  </si>
  <si>
    <t xml:space="preserve">200; nhận refreshToken mới</t>
  </si>
  <si>
    <t xml:space="preserve">POST /api/auth/refresh lại với token cũ</t>
  </si>
  <si>
    <t xml:space="preserve">401; error.code=REFRESH_TOKEN_INVALID</t>
  </si>
  <si>
    <t xml:space="preserve">POST /api/auth/refresh với token mới</t>
  </si>
  <si>
    <t xml:space="preserve">200; nhận token mới nhất</t>
  </si>
  <si>
    <t xml:space="preserve">POST /api/auth/logout với token mới nhất, allDevices=false</t>
  </si>
  <si>
    <t xml:space="preserve">204 No Content</t>
  </si>
  <si>
    <t xml:space="preserve">POST /api/auth/refresh với token đã logout</t>
  </si>
  <si>
    <t xml:space="preserve">Đăng ký password-phase3@example.com, lấy access + refresh</t>
  </si>
  <si>
    <t xml:space="preserve">change-password với currentPassword=Wrong123</t>
  </si>
  <si>
    <t xml:space="preserve">400; error.code=INVALID_CURRENT_PASSWORD</t>
  </si>
  <si>
    <t xml:space="preserve">change-password với newPassword trùng currentPassword (Password1)</t>
  </si>
  <si>
    <t xml:space="preserve">400; error.code=PASSWORD_UNCHANGED</t>
  </si>
  <si>
    <t xml:space="preserve">change-password Password1 → NewPassword1</t>
  </si>
  <si>
    <t xml:space="preserve">refresh với refresh token cũ</t>
  </si>
  <si>
    <t xml:space="preserve">login với NewPassword1</t>
  </si>
  <si>
    <t xml:space="preserve">refresh với refresh token mới</t>
  </si>
  <si>
    <t xml:space="preserve">Đăng ký all-devices@example.com → firstRefresh</t>
  </si>
  <si>
    <t xml:space="preserve">Đăng nhập lần 2 → secondRefresh</t>
  </si>
  <si>
    <t xml:space="preserve">logout với firstRefresh, allDevices=true</t>
  </si>
  <si>
    <t xml:space="preserve">204</t>
  </si>
  <si>
    <t xml:space="preserve">refresh với secondRefresh</t>
  </si>
  <si>
    <t xml:space="preserve">Đặt user.status=DISABLED trong DB, phát hành token mới bằng TokenService, refresh</t>
  </si>
  <si>
    <t xml:space="preserve">Đăng ký expired-phase3@example.com, lấy refresh token</t>
  </si>
  <si>
    <t xml:space="preserve">Đặt expiresAt của refresh token = hiện tại − 1 giây</t>
  </si>
  <si>
    <t xml:space="preserve">refresh với token đã hết hạn</t>
  </si>
  <si>
    <t xml:space="preserve">Tạo user Google (authProvider=GOOGLE, không có mật khẩu), phát hành access token</t>
  </si>
  <si>
    <t xml:space="preserve">change-password với access token của user Google</t>
  </si>
  <si>
    <t xml:space="preserve">400; error.code=PASSWORD_NOT_SET</t>
  </si>
  <si>
    <t xml:space="preserve">Đăng ký concurrent-phase3@example.com, lấy refresh token</t>
  </si>
  <si>
    <t xml:space="preserve">Hai thread cùng gọi /refresh với cùng token (CountDownLatch để bắt đầu đồng thời)</t>
  </si>
  <si>
    <t xml:space="preserve">Tập status = {200, 401} (không phụ thuộc thứ tự)</t>
  </si>
  <si>
    <t xml:space="preserve">Đăng ký grace-window@example.com, lấy token cũ</t>
  </si>
  <si>
    <t xml:space="preserve">refresh với token cũ → token mới</t>
  </si>
  <si>
    <t xml:space="preserve">Đặt revokedAt của token cũ = hiện tại − 30 giây (ngoài grace)</t>
  </si>
  <si>
    <t xml:space="preserve">refresh lại với token cũ</t>
  </si>
  <si>
    <t xml:space="preserve">refresh với token mới</t>
  </si>
  <si>
    <t xml:space="preserve">401 (family bị thu hồi)</t>
  </si>
  <si>
    <t xml:space="preserve">POST /api/auth/logout với body {}</t>
  </si>
  <si>
    <t xml:space="preserve">POST /api/auth/login với header Authorization: Bearer invalid-signature, missing@example.com / Wrong123</t>
  </si>
  <si>
    <t xml:space="preserve">401; error.code=INVALID_CREDENTIALS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</si>
</sst>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COUNTA('Test Cases'!A2:A15)</f>
        <v>14</v>
      </c>
    </row>
    <row r="6" customFormat="false" ht="15" hidden="false" customHeight="false" outlineLevel="0" collapsed="false">
      <c r="A6" s="4" t="s">
        <v>5</v>
      </c>
      <c r="B6" s="5" t="n">
        <f aca="false">COUNTIF('Test Cases'!B2:B15,"AuthControllerTest.java")</f>
        <v>4</v>
      </c>
    </row>
    <row r="7" customFormat="false" ht="15" hidden="false" customHeight="false" outlineLevel="0" collapsed="false">
      <c r="A7" s="4" t="s">
        <v>6</v>
      </c>
      <c r="B7" s="5" t="n">
        <f aca="false">COUNTIF('Test Cases'!B2:B15,"AuthFlowIntegrationTest.java")</f>
        <v>10</v>
      </c>
    </row>
    <row r="8" customFormat="false" ht="15" hidden="false" customHeight="false" outlineLevel="0" collapsed="false">
      <c r="A8" s="4" t="s">
        <v>7</v>
      </c>
      <c r="B8" s="5" t="n">
        <f aca="false">SUM('Test Cases'!J2:J15)</f>
        <v>51</v>
      </c>
    </row>
    <row r="10" customFormat="false" ht="15" hidden="false" customHeight="false" outlineLevel="0" collapsed="false">
      <c r="A10" s="6" t="s">
        <v>8</v>
      </c>
    </row>
    <row r="11" customFormat="false" ht="15" hidden="false" customHeight="false" outlineLevel="0" collapsed="false">
      <c r="A11" s="7" t="s">
        <v>9</v>
      </c>
    </row>
    <row r="12" customFormat="false" ht="15" hidden="false" customHeight="false" outlineLevel="0" collapsed="false">
      <c r="A12" s="7" t="s">
        <v>10</v>
      </c>
    </row>
    <row r="13" customFormat="false" ht="15" hidden="false" customHeight="false" outlineLevel="0" collapsed="false">
      <c r="A1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44"/>
    <col collapsed="false" customWidth="true" hidden="false" outlineLevel="0" max="7" min="7" style="0" width="34"/>
    <col collapsed="false" customWidth="true" hidden="false" outlineLevel="0" max="8" min="8" style="0" width="60"/>
    <col collapsed="false" customWidth="true" hidden="false" outlineLevel="0" max="9" min="9" style="0" width="44"/>
    <col collapsed="false" customWidth="true" hidden="false" outlineLevel="0" max="10" min="10" style="0" width="9"/>
    <col collapsed="false" customWidth="true" hidden="false" outlineLevel="0" max="11" min="11" style="0" width="52"/>
  </cols>
  <sheetData>
    <row r="1" customFormat="false" ht="30" hidden="false" customHeight="true" outlineLevel="0" collapsed="false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</row>
    <row r="2" customFormat="false" ht="35.05" hidden="false" customHeight="false" outlineLevel="0" collapsed="false">
      <c r="A2" s="9" t="s">
        <v>23</v>
      </c>
      <c r="B2" s="9" t="s">
        <v>24</v>
      </c>
      <c r="C2" s="9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10" t="n">
        <f aca="false">COUNTIF('Chi tiết bước'!$A:$A,A2)</f>
        <v>2</v>
      </c>
      <c r="K2" s="9" t="s">
        <v>32</v>
      </c>
    </row>
    <row r="3" customFormat="false" ht="23.85" hidden="false" customHeight="false" outlineLevel="0" collapsed="false">
      <c r="A3" s="9" t="s">
        <v>33</v>
      </c>
      <c r="B3" s="9" t="s">
        <v>24</v>
      </c>
      <c r="C3" s="9" t="s">
        <v>34</v>
      </c>
      <c r="D3" s="9" t="s">
        <v>35</v>
      </c>
      <c r="E3" s="9" t="s">
        <v>36</v>
      </c>
      <c r="F3" s="9" t="s">
        <v>37</v>
      </c>
      <c r="G3" s="9" t="s">
        <v>38</v>
      </c>
      <c r="H3" s="9" t="s">
        <v>39</v>
      </c>
      <c r="I3" s="9" t="s">
        <v>40</v>
      </c>
      <c r="J3" s="10" t="n">
        <f aca="false">COUNTIF('Chi tiết bước'!$A:$A,A3)</f>
        <v>2</v>
      </c>
      <c r="K3" s="9" t="s">
        <v>41</v>
      </c>
    </row>
    <row r="4" customFormat="false" ht="35.05" hidden="false" customHeight="false" outlineLevel="0" collapsed="false">
      <c r="A4" s="9" t="s">
        <v>42</v>
      </c>
      <c r="B4" s="9" t="s">
        <v>24</v>
      </c>
      <c r="C4" s="9" t="s">
        <v>43</v>
      </c>
      <c r="D4" s="9" t="s">
        <v>26</v>
      </c>
      <c r="E4" s="9" t="s">
        <v>27</v>
      </c>
      <c r="F4" s="9" t="s">
        <v>44</v>
      </c>
      <c r="G4" s="9" t="s">
        <v>45</v>
      </c>
      <c r="H4" s="9" t="s">
        <v>46</v>
      </c>
      <c r="I4" s="9" t="s">
        <v>47</v>
      </c>
      <c r="J4" s="10" t="n">
        <f aca="false">COUNTIF('Chi tiết bước'!$A:$A,A4)</f>
        <v>2</v>
      </c>
      <c r="K4" s="9" t="s">
        <v>48</v>
      </c>
    </row>
    <row r="5" customFormat="false" ht="46.25" hidden="false" customHeight="false" outlineLevel="0" collapsed="false">
      <c r="A5" s="9" t="s">
        <v>49</v>
      </c>
      <c r="B5" s="9" t="s">
        <v>24</v>
      </c>
      <c r="C5" s="9" t="s">
        <v>50</v>
      </c>
      <c r="D5" s="9" t="s">
        <v>26</v>
      </c>
      <c r="E5" s="9" t="s">
        <v>51</v>
      </c>
      <c r="F5" s="9" t="s">
        <v>52</v>
      </c>
      <c r="G5" s="9" t="s">
        <v>53</v>
      </c>
      <c r="H5" s="9" t="s">
        <v>54</v>
      </c>
      <c r="I5" s="9" t="s">
        <v>55</v>
      </c>
      <c r="J5" s="10" t="n">
        <f aca="false">COUNTIF('Chi tiết bước'!$A:$A,A5)</f>
        <v>3</v>
      </c>
      <c r="K5" s="9" t="s">
        <v>56</v>
      </c>
    </row>
    <row r="6" customFormat="false" ht="91" hidden="false" customHeight="false" outlineLevel="0" collapsed="false">
      <c r="A6" s="9" t="s">
        <v>57</v>
      </c>
      <c r="B6" s="9" t="s">
        <v>58</v>
      </c>
      <c r="C6" s="9" t="s">
        <v>59</v>
      </c>
      <c r="D6" s="9" t="s">
        <v>60</v>
      </c>
      <c r="E6" s="9" t="s">
        <v>61</v>
      </c>
      <c r="F6" s="9" t="s">
        <v>62</v>
      </c>
      <c r="G6" s="9" t="s">
        <v>63</v>
      </c>
      <c r="H6" s="9" t="s">
        <v>64</v>
      </c>
      <c r="I6" s="9" t="s">
        <v>65</v>
      </c>
      <c r="J6" s="10" t="n">
        <f aca="false">COUNTIF('Chi tiết bước'!$A:$A,A6)</f>
        <v>7</v>
      </c>
      <c r="K6" s="9" t="s">
        <v>66</v>
      </c>
    </row>
    <row r="7" customFormat="false" ht="46.25" hidden="false" customHeight="false" outlineLevel="0" collapsed="false">
      <c r="A7" s="9" t="s">
        <v>67</v>
      </c>
      <c r="B7" s="9" t="s">
        <v>58</v>
      </c>
      <c r="C7" s="9" t="s">
        <v>68</v>
      </c>
      <c r="D7" s="9" t="s">
        <v>60</v>
      </c>
      <c r="E7" s="9" t="s">
        <v>69</v>
      </c>
      <c r="F7" s="9" t="s">
        <v>70</v>
      </c>
      <c r="G7" s="9" t="s">
        <v>71</v>
      </c>
      <c r="H7" s="9" t="s">
        <v>72</v>
      </c>
      <c r="I7" s="9" t="s">
        <v>73</v>
      </c>
      <c r="J7" s="10" t="n">
        <f aca="false">COUNTIF('Chi tiết bước'!$A:$A,A7)</f>
        <v>3</v>
      </c>
      <c r="K7" s="9" t="s">
        <v>74</v>
      </c>
    </row>
    <row r="8" customFormat="false" ht="68.65" hidden="false" customHeight="false" outlineLevel="0" collapsed="false">
      <c r="A8" s="9" t="s">
        <v>75</v>
      </c>
      <c r="B8" s="9" t="s">
        <v>58</v>
      </c>
      <c r="C8" s="9" t="s">
        <v>76</v>
      </c>
      <c r="D8" s="9" t="s">
        <v>60</v>
      </c>
      <c r="E8" s="9" t="s">
        <v>77</v>
      </c>
      <c r="F8" s="9" t="s">
        <v>78</v>
      </c>
      <c r="G8" s="9" t="s">
        <v>71</v>
      </c>
      <c r="H8" s="9" t="s">
        <v>79</v>
      </c>
      <c r="I8" s="9" t="s">
        <v>80</v>
      </c>
      <c r="J8" s="10" t="n">
        <f aca="false">COUNTIF('Chi tiết bước'!$A:$A,A8)</f>
        <v>6</v>
      </c>
      <c r="K8" s="9" t="s">
        <v>81</v>
      </c>
    </row>
    <row r="9" customFormat="false" ht="91" hidden="false" customHeight="false" outlineLevel="0" collapsed="false">
      <c r="A9" s="9" t="s">
        <v>82</v>
      </c>
      <c r="B9" s="9" t="s">
        <v>58</v>
      </c>
      <c r="C9" s="9" t="s">
        <v>83</v>
      </c>
      <c r="D9" s="9" t="s">
        <v>60</v>
      </c>
      <c r="E9" s="9" t="s">
        <v>84</v>
      </c>
      <c r="F9" s="9" t="s">
        <v>85</v>
      </c>
      <c r="G9" s="9" t="s">
        <v>86</v>
      </c>
      <c r="H9" s="9" t="s">
        <v>87</v>
      </c>
      <c r="I9" s="9" t="s">
        <v>88</v>
      </c>
      <c r="J9" s="10" t="n">
        <f aca="false">COUNTIF('Chi tiết bước'!$A:$A,A9)</f>
        <v>7</v>
      </c>
      <c r="K9" s="9" t="s">
        <v>89</v>
      </c>
    </row>
    <row r="10" customFormat="false" ht="68.65" hidden="false" customHeight="false" outlineLevel="0" collapsed="false">
      <c r="A10" s="9" t="s">
        <v>90</v>
      </c>
      <c r="B10" s="9" t="s">
        <v>58</v>
      </c>
      <c r="C10" s="9" t="s">
        <v>91</v>
      </c>
      <c r="D10" s="9" t="s">
        <v>60</v>
      </c>
      <c r="E10" s="9" t="s">
        <v>92</v>
      </c>
      <c r="F10" s="9" t="s">
        <v>93</v>
      </c>
      <c r="G10" s="9" t="s">
        <v>94</v>
      </c>
      <c r="H10" s="9" t="s">
        <v>95</v>
      </c>
      <c r="I10" s="9" t="s">
        <v>96</v>
      </c>
      <c r="J10" s="10" t="n">
        <f aca="false">COUNTIF('Chi tiết bước'!$A:$A,A10)</f>
        <v>5</v>
      </c>
      <c r="K10" s="9" t="s">
        <v>97</v>
      </c>
    </row>
    <row r="11" customFormat="false" ht="68.65" hidden="false" customHeight="false" outlineLevel="0" collapsed="false">
      <c r="A11" s="9" t="s">
        <v>98</v>
      </c>
      <c r="B11" s="9" t="s">
        <v>58</v>
      </c>
      <c r="C11" s="9" t="s">
        <v>99</v>
      </c>
      <c r="D11" s="9" t="s">
        <v>60</v>
      </c>
      <c r="E11" s="9" t="s">
        <v>100</v>
      </c>
      <c r="F11" s="9" t="s">
        <v>101</v>
      </c>
      <c r="G11" s="9" t="s">
        <v>71</v>
      </c>
      <c r="H11" s="9" t="s">
        <v>102</v>
      </c>
      <c r="I11" s="9" t="s">
        <v>103</v>
      </c>
      <c r="J11" s="10" t="n">
        <f aca="false">COUNTIF('Chi tiết bước'!$A:$A,A11)</f>
        <v>5</v>
      </c>
      <c r="K11" s="9" t="s">
        <v>104</v>
      </c>
    </row>
    <row r="12" customFormat="false" ht="35.05" hidden="false" customHeight="false" outlineLevel="0" collapsed="false">
      <c r="A12" s="9" t="s">
        <v>105</v>
      </c>
      <c r="B12" s="9" t="s">
        <v>58</v>
      </c>
      <c r="C12" s="9" t="s">
        <v>106</v>
      </c>
      <c r="D12" s="9" t="s">
        <v>60</v>
      </c>
      <c r="E12" s="9" t="s">
        <v>107</v>
      </c>
      <c r="F12" s="9" t="s">
        <v>108</v>
      </c>
      <c r="G12" s="9" t="s">
        <v>109</v>
      </c>
      <c r="H12" s="9" t="s">
        <v>110</v>
      </c>
      <c r="I12" s="9" t="s">
        <v>111</v>
      </c>
      <c r="J12" s="10" t="n">
        <f aca="false">COUNTIF('Chi tiết bước'!$A:$A,A12)</f>
        <v>2</v>
      </c>
      <c r="K12" s="9" t="s">
        <v>112</v>
      </c>
    </row>
    <row r="13" customFormat="false" ht="57.45" hidden="false" customHeight="false" outlineLevel="0" collapsed="false">
      <c r="A13" s="9" t="s">
        <v>113</v>
      </c>
      <c r="B13" s="9" t="s">
        <v>58</v>
      </c>
      <c r="C13" s="9" t="s">
        <v>114</v>
      </c>
      <c r="D13" s="9" t="s">
        <v>60</v>
      </c>
      <c r="E13" s="9" t="s">
        <v>107</v>
      </c>
      <c r="F13" s="9" t="s">
        <v>115</v>
      </c>
      <c r="G13" s="9" t="s">
        <v>116</v>
      </c>
      <c r="H13" s="9" t="s">
        <v>117</v>
      </c>
      <c r="I13" s="9" t="s">
        <v>118</v>
      </c>
      <c r="J13" s="10" t="n">
        <f aca="false">COUNTIF('Chi tiết bước'!$A:$A,A13)</f>
        <v>5</v>
      </c>
      <c r="K13" s="9" t="s">
        <v>119</v>
      </c>
    </row>
    <row r="14" customFormat="false" ht="23.85" hidden="false" customHeight="false" outlineLevel="0" collapsed="false">
      <c r="A14" s="9" t="s">
        <v>120</v>
      </c>
      <c r="B14" s="9" t="s">
        <v>58</v>
      </c>
      <c r="C14" s="9" t="s">
        <v>121</v>
      </c>
      <c r="D14" s="9" t="s">
        <v>60</v>
      </c>
      <c r="E14" s="9" t="s">
        <v>122</v>
      </c>
      <c r="F14" s="9" t="s">
        <v>123</v>
      </c>
      <c r="G14" s="9" t="s">
        <v>38</v>
      </c>
      <c r="H14" s="9" t="s">
        <v>124</v>
      </c>
      <c r="I14" s="9" t="s">
        <v>125</v>
      </c>
      <c r="J14" s="10" t="n">
        <f aca="false">COUNTIF('Chi tiết bước'!$A:$A,A14)</f>
        <v>1</v>
      </c>
      <c r="K14" s="9" t="s">
        <v>126</v>
      </c>
    </row>
    <row r="15" customFormat="false" ht="23.85" hidden="false" customHeight="false" outlineLevel="0" collapsed="false">
      <c r="A15" s="9" t="s">
        <v>127</v>
      </c>
      <c r="B15" s="9" t="s">
        <v>58</v>
      </c>
      <c r="C15" s="9" t="s">
        <v>128</v>
      </c>
      <c r="D15" s="9" t="s">
        <v>60</v>
      </c>
      <c r="E15" s="9" t="s">
        <v>129</v>
      </c>
      <c r="F15" s="9" t="s">
        <v>130</v>
      </c>
      <c r="G15" s="9" t="s">
        <v>131</v>
      </c>
      <c r="H15" s="9" t="s">
        <v>132</v>
      </c>
      <c r="I15" s="9" t="s">
        <v>133</v>
      </c>
      <c r="J15" s="10" t="n">
        <f aca="false">COUNTIF('Chi tiết bước'!$A:$A,A15)</f>
        <v>1</v>
      </c>
      <c r="K15" s="9" t="s">
        <v>134</v>
      </c>
    </row>
  </sheetData>
  <autoFilter ref="A1:K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7"/>
    <col collapsed="false" customWidth="true" hidden="false" outlineLevel="0" max="4" min="4" style="0" width="70"/>
    <col collapsed="false" customWidth="true" hidden="false" outlineLevel="0" max="5" min="5" style="0" width="62"/>
  </cols>
  <sheetData>
    <row r="1" customFormat="false" ht="15" hidden="false" customHeight="false" outlineLevel="0" collapsed="false">
      <c r="A1" s="8" t="s">
        <v>12</v>
      </c>
      <c r="B1" s="8" t="s">
        <v>14</v>
      </c>
      <c r="C1" s="8" t="s">
        <v>135</v>
      </c>
      <c r="D1" s="8" t="s">
        <v>136</v>
      </c>
      <c r="E1" s="8" t="s">
        <v>137</v>
      </c>
    </row>
    <row r="2" customFormat="false" ht="15" hidden="false" customHeight="false" outlineLevel="0" collapsed="false">
      <c r="A2" s="9" t="s">
        <v>23</v>
      </c>
      <c r="B2" s="9" t="s">
        <v>25</v>
      </c>
      <c r="C2" s="10" t="n">
        <v>1</v>
      </c>
      <c r="D2" s="9" t="s">
        <v>138</v>
      </c>
      <c r="E2" s="9" t="s">
        <v>139</v>
      </c>
    </row>
    <row r="3" customFormat="false" ht="23.85" hidden="false" customHeight="false" outlineLevel="0" collapsed="false">
      <c r="A3" s="9" t="s">
        <v>23</v>
      </c>
      <c r="B3" s="9" t="s">
        <v>25</v>
      </c>
      <c r="C3" s="10" t="n">
        <v>2</v>
      </c>
      <c r="D3" s="9" t="s">
        <v>140</v>
      </c>
      <c r="E3" s="9" t="s">
        <v>141</v>
      </c>
    </row>
    <row r="4" customFormat="false" ht="15" hidden="false" customHeight="false" outlineLevel="0" collapsed="false">
      <c r="A4" s="9" t="s">
        <v>33</v>
      </c>
      <c r="B4" s="9" t="s">
        <v>34</v>
      </c>
      <c r="C4" s="10" t="n">
        <v>1</v>
      </c>
      <c r="D4" s="9" t="s">
        <v>142</v>
      </c>
      <c r="E4" s="9" t="s">
        <v>143</v>
      </c>
    </row>
    <row r="5" customFormat="false" ht="15" hidden="false" customHeight="false" outlineLevel="0" collapsed="false">
      <c r="A5" s="9" t="s">
        <v>33</v>
      </c>
      <c r="B5" s="9" t="s">
        <v>34</v>
      </c>
      <c r="C5" s="10" t="n">
        <v>2</v>
      </c>
      <c r="D5" s="9" t="s">
        <v>144</v>
      </c>
      <c r="E5" s="9" t="s">
        <v>145</v>
      </c>
    </row>
    <row r="6" customFormat="false" ht="23.85" hidden="false" customHeight="false" outlineLevel="0" collapsed="false">
      <c r="A6" s="9" t="s">
        <v>42</v>
      </c>
      <c r="B6" s="9" t="s">
        <v>43</v>
      </c>
      <c r="C6" s="10" t="n">
        <v>1</v>
      </c>
      <c r="D6" s="9" t="s">
        <v>146</v>
      </c>
      <c r="E6" s="9" t="s">
        <v>147</v>
      </c>
    </row>
    <row r="7" customFormat="false" ht="23.85" hidden="false" customHeight="false" outlineLevel="0" collapsed="false">
      <c r="A7" s="9" t="s">
        <v>42</v>
      </c>
      <c r="B7" s="9" t="s">
        <v>43</v>
      </c>
      <c r="C7" s="10" t="n">
        <v>2</v>
      </c>
      <c r="D7" s="9" t="s">
        <v>140</v>
      </c>
      <c r="E7" s="9" t="s">
        <v>148</v>
      </c>
    </row>
    <row r="8" customFormat="false" ht="23.85" hidden="false" customHeight="false" outlineLevel="0" collapsed="false">
      <c r="A8" s="9" t="s">
        <v>49</v>
      </c>
      <c r="B8" s="9" t="s">
        <v>50</v>
      </c>
      <c r="C8" s="10" t="n">
        <v>1</v>
      </c>
      <c r="D8" s="9" t="s">
        <v>149</v>
      </c>
      <c r="E8" s="9" t="s">
        <v>139</v>
      </c>
    </row>
    <row r="9" customFormat="false" ht="15" hidden="false" customHeight="false" outlineLevel="0" collapsed="false">
      <c r="A9" s="9" t="s">
        <v>49</v>
      </c>
      <c r="B9" s="9" t="s">
        <v>50</v>
      </c>
      <c r="C9" s="10" t="n">
        <v>2</v>
      </c>
      <c r="D9" s="9" t="s">
        <v>150</v>
      </c>
      <c r="E9" s="9" t="s">
        <v>151</v>
      </c>
    </row>
    <row r="10" customFormat="false" ht="15" hidden="false" customHeight="false" outlineLevel="0" collapsed="false">
      <c r="A10" s="9" t="s">
        <v>49</v>
      </c>
      <c r="B10" s="9" t="s">
        <v>50</v>
      </c>
      <c r="C10" s="10" t="n">
        <v>3</v>
      </c>
      <c r="D10" s="9" t="s">
        <v>152</v>
      </c>
      <c r="E10" s="9" t="s">
        <v>153</v>
      </c>
    </row>
    <row r="11" customFormat="false" ht="23.85" hidden="false" customHeight="false" outlineLevel="0" collapsed="false">
      <c r="A11" s="9" t="s">
        <v>57</v>
      </c>
      <c r="B11" s="9" t="s">
        <v>59</v>
      </c>
      <c r="C11" s="10" t="n">
        <v>1</v>
      </c>
      <c r="D11" s="9" t="s">
        <v>154</v>
      </c>
      <c r="E11" s="9" t="s">
        <v>155</v>
      </c>
    </row>
    <row r="12" customFormat="false" ht="15" hidden="false" customHeight="false" outlineLevel="0" collapsed="false">
      <c r="A12" s="9" t="s">
        <v>57</v>
      </c>
      <c r="B12" s="9" t="s">
        <v>59</v>
      </c>
      <c r="C12" s="10" t="n">
        <v>2</v>
      </c>
      <c r="D12" s="9" t="s">
        <v>156</v>
      </c>
      <c r="E12" s="9" t="s">
        <v>157</v>
      </c>
    </row>
    <row r="13" customFormat="false" ht="15" hidden="false" customHeight="false" outlineLevel="0" collapsed="false">
      <c r="A13" s="9" t="s">
        <v>57</v>
      </c>
      <c r="B13" s="9" t="s">
        <v>59</v>
      </c>
      <c r="C13" s="10" t="n">
        <v>3</v>
      </c>
      <c r="D13" s="9" t="s">
        <v>158</v>
      </c>
      <c r="E13" s="9" t="s">
        <v>159</v>
      </c>
    </row>
    <row r="14" customFormat="false" ht="15" hidden="false" customHeight="false" outlineLevel="0" collapsed="false">
      <c r="A14" s="9" t="s">
        <v>57</v>
      </c>
      <c r="B14" s="9" t="s">
        <v>59</v>
      </c>
      <c r="C14" s="10" t="n">
        <v>4</v>
      </c>
      <c r="D14" s="9" t="s">
        <v>160</v>
      </c>
      <c r="E14" s="9" t="s">
        <v>161</v>
      </c>
    </row>
    <row r="15" customFormat="false" ht="15" hidden="false" customHeight="false" outlineLevel="0" collapsed="false">
      <c r="A15" s="9" t="s">
        <v>57</v>
      </c>
      <c r="B15" s="9" t="s">
        <v>59</v>
      </c>
      <c r="C15" s="10" t="n">
        <v>5</v>
      </c>
      <c r="D15" s="9" t="s">
        <v>162</v>
      </c>
      <c r="E15" s="9" t="s">
        <v>163</v>
      </c>
    </row>
    <row r="16" customFormat="false" ht="15" hidden="false" customHeight="false" outlineLevel="0" collapsed="false">
      <c r="A16" s="9" t="s">
        <v>57</v>
      </c>
      <c r="B16" s="9" t="s">
        <v>59</v>
      </c>
      <c r="C16" s="10" t="n">
        <v>6</v>
      </c>
      <c r="D16" s="9" t="s">
        <v>164</v>
      </c>
      <c r="E16" s="9" t="s">
        <v>165</v>
      </c>
    </row>
    <row r="17" customFormat="false" ht="15" hidden="false" customHeight="false" outlineLevel="0" collapsed="false">
      <c r="A17" s="9" t="s">
        <v>57</v>
      </c>
      <c r="B17" s="9" t="s">
        <v>59</v>
      </c>
      <c r="C17" s="10" t="n">
        <v>7</v>
      </c>
      <c r="D17" s="9" t="s">
        <v>166</v>
      </c>
      <c r="E17" s="9" t="s">
        <v>165</v>
      </c>
    </row>
    <row r="18" customFormat="false" ht="15" hidden="false" customHeight="false" outlineLevel="0" collapsed="false">
      <c r="A18" s="9" t="s">
        <v>67</v>
      </c>
      <c r="B18" s="9" t="s">
        <v>68</v>
      </c>
      <c r="C18" s="10" t="n">
        <v>1</v>
      </c>
      <c r="D18" s="9" t="s">
        <v>167</v>
      </c>
      <c r="E18" s="9" t="s">
        <v>168</v>
      </c>
    </row>
    <row r="19" customFormat="false" ht="15" hidden="false" customHeight="false" outlineLevel="0" collapsed="false">
      <c r="A19" s="9" t="s">
        <v>67</v>
      </c>
      <c r="B19" s="9" t="s">
        <v>68</v>
      </c>
      <c r="C19" s="10" t="n">
        <v>2</v>
      </c>
      <c r="D19" s="9" t="s">
        <v>169</v>
      </c>
      <c r="E19" s="9" t="s">
        <v>163</v>
      </c>
    </row>
    <row r="20" customFormat="false" ht="15" hidden="false" customHeight="false" outlineLevel="0" collapsed="false">
      <c r="A20" s="9" t="s">
        <v>67</v>
      </c>
      <c r="B20" s="9" t="s">
        <v>68</v>
      </c>
      <c r="C20" s="10" t="n">
        <v>3</v>
      </c>
      <c r="D20" s="9" t="s">
        <v>170</v>
      </c>
      <c r="E20" s="9" t="s">
        <v>171</v>
      </c>
    </row>
    <row r="21" customFormat="false" ht="15" hidden="false" customHeight="false" outlineLevel="0" collapsed="false">
      <c r="A21" s="9" t="s">
        <v>75</v>
      </c>
      <c r="B21" s="9" t="s">
        <v>76</v>
      </c>
      <c r="C21" s="10" t="n">
        <v>1</v>
      </c>
      <c r="D21" s="9" t="s">
        <v>172</v>
      </c>
      <c r="E21" s="9" t="s">
        <v>168</v>
      </c>
    </row>
    <row r="22" customFormat="false" ht="15" hidden="false" customHeight="false" outlineLevel="0" collapsed="false">
      <c r="A22" s="9" t="s">
        <v>75</v>
      </c>
      <c r="B22" s="9" t="s">
        <v>76</v>
      </c>
      <c r="C22" s="10" t="n">
        <v>2</v>
      </c>
      <c r="D22" s="9" t="s">
        <v>173</v>
      </c>
      <c r="E22" s="9" t="s">
        <v>174</v>
      </c>
    </row>
    <row r="23" customFormat="false" ht="15" hidden="false" customHeight="false" outlineLevel="0" collapsed="false">
      <c r="A23" s="9" t="s">
        <v>75</v>
      </c>
      <c r="B23" s="9" t="s">
        <v>76</v>
      </c>
      <c r="C23" s="10" t="n">
        <v>3</v>
      </c>
      <c r="D23" s="9" t="s">
        <v>175</v>
      </c>
      <c r="E23" s="9" t="s">
        <v>176</v>
      </c>
    </row>
    <row r="24" customFormat="false" ht="15" hidden="false" customHeight="false" outlineLevel="0" collapsed="false">
      <c r="A24" s="9" t="s">
        <v>75</v>
      </c>
      <c r="B24" s="9" t="s">
        <v>76</v>
      </c>
      <c r="C24" s="10" t="n">
        <v>4</v>
      </c>
      <c r="D24" s="9" t="s">
        <v>177</v>
      </c>
      <c r="E24" s="9" t="s">
        <v>178</v>
      </c>
    </row>
    <row r="25" customFormat="false" ht="15" hidden="false" customHeight="false" outlineLevel="0" collapsed="false">
      <c r="A25" s="9" t="s">
        <v>75</v>
      </c>
      <c r="B25" s="9" t="s">
        <v>76</v>
      </c>
      <c r="C25" s="10" t="n">
        <v>5</v>
      </c>
      <c r="D25" s="9" t="s">
        <v>179</v>
      </c>
      <c r="E25" s="9" t="s">
        <v>180</v>
      </c>
    </row>
    <row r="26" customFormat="false" ht="15" hidden="false" customHeight="false" outlineLevel="0" collapsed="false">
      <c r="A26" s="9" t="s">
        <v>75</v>
      </c>
      <c r="B26" s="9" t="s">
        <v>76</v>
      </c>
      <c r="C26" s="10" t="n">
        <v>6</v>
      </c>
      <c r="D26" s="9" t="s">
        <v>181</v>
      </c>
      <c r="E26" s="9" t="s">
        <v>163</v>
      </c>
    </row>
    <row r="27" customFormat="false" ht="23.85" hidden="false" customHeight="false" outlineLevel="0" collapsed="false">
      <c r="A27" s="9" t="s">
        <v>82</v>
      </c>
      <c r="B27" s="9" t="s">
        <v>83</v>
      </c>
      <c r="C27" s="10" t="n">
        <v>1</v>
      </c>
      <c r="D27" s="9" t="s">
        <v>182</v>
      </c>
      <c r="E27" s="9" t="s">
        <v>168</v>
      </c>
    </row>
    <row r="28" customFormat="false" ht="23.85" hidden="false" customHeight="false" outlineLevel="0" collapsed="false">
      <c r="A28" s="9" t="s">
        <v>82</v>
      </c>
      <c r="B28" s="9" t="s">
        <v>83</v>
      </c>
      <c r="C28" s="10" t="n">
        <v>2</v>
      </c>
      <c r="D28" s="9" t="s">
        <v>183</v>
      </c>
      <c r="E28" s="9" t="s">
        <v>184</v>
      </c>
    </row>
    <row r="29" customFormat="false" ht="23.85" hidden="false" customHeight="false" outlineLevel="0" collapsed="false">
      <c r="A29" s="9" t="s">
        <v>82</v>
      </c>
      <c r="B29" s="9" t="s">
        <v>83</v>
      </c>
      <c r="C29" s="10" t="n">
        <v>3</v>
      </c>
      <c r="D29" s="9" t="s">
        <v>185</v>
      </c>
      <c r="E29" s="9" t="s">
        <v>186</v>
      </c>
    </row>
    <row r="30" customFormat="false" ht="23.85" hidden="false" customHeight="false" outlineLevel="0" collapsed="false">
      <c r="A30" s="9" t="s">
        <v>82</v>
      </c>
      <c r="B30" s="9" t="s">
        <v>83</v>
      </c>
      <c r="C30" s="10" t="n">
        <v>4</v>
      </c>
      <c r="D30" s="9" t="s">
        <v>187</v>
      </c>
      <c r="E30" s="9" t="s">
        <v>174</v>
      </c>
    </row>
    <row r="31" customFormat="false" ht="23.85" hidden="false" customHeight="false" outlineLevel="0" collapsed="false">
      <c r="A31" s="9" t="s">
        <v>82</v>
      </c>
      <c r="B31" s="9" t="s">
        <v>83</v>
      </c>
      <c r="C31" s="10" t="n">
        <v>5</v>
      </c>
      <c r="D31" s="9" t="s">
        <v>188</v>
      </c>
      <c r="E31" s="9" t="s">
        <v>163</v>
      </c>
    </row>
    <row r="32" customFormat="false" ht="23.85" hidden="false" customHeight="false" outlineLevel="0" collapsed="false">
      <c r="A32" s="9" t="s">
        <v>82</v>
      </c>
      <c r="B32" s="9" t="s">
        <v>83</v>
      </c>
      <c r="C32" s="10" t="n">
        <v>6</v>
      </c>
      <c r="D32" s="9" t="s">
        <v>189</v>
      </c>
      <c r="E32" s="9" t="s">
        <v>165</v>
      </c>
    </row>
    <row r="33" customFormat="false" ht="23.85" hidden="false" customHeight="false" outlineLevel="0" collapsed="false">
      <c r="A33" s="9" t="s">
        <v>82</v>
      </c>
      <c r="B33" s="9" t="s">
        <v>83</v>
      </c>
      <c r="C33" s="10" t="n">
        <v>7</v>
      </c>
      <c r="D33" s="9" t="s">
        <v>190</v>
      </c>
      <c r="E33" s="9" t="s">
        <v>165</v>
      </c>
    </row>
    <row r="34" customFormat="false" ht="15" hidden="false" customHeight="false" outlineLevel="0" collapsed="false">
      <c r="A34" s="9" t="s">
        <v>90</v>
      </c>
      <c r="B34" s="9" t="s">
        <v>91</v>
      </c>
      <c r="C34" s="10" t="n">
        <v>1</v>
      </c>
      <c r="D34" s="9" t="s">
        <v>191</v>
      </c>
      <c r="E34" s="9" t="s">
        <v>168</v>
      </c>
    </row>
    <row r="35" customFormat="false" ht="15" hidden="false" customHeight="false" outlineLevel="0" collapsed="false">
      <c r="A35" s="9" t="s">
        <v>90</v>
      </c>
      <c r="B35" s="9" t="s">
        <v>91</v>
      </c>
      <c r="C35" s="10" t="n">
        <v>2</v>
      </c>
      <c r="D35" s="9" t="s">
        <v>192</v>
      </c>
      <c r="E35" s="9" t="s">
        <v>165</v>
      </c>
    </row>
    <row r="36" customFormat="false" ht="15" hidden="false" customHeight="false" outlineLevel="0" collapsed="false">
      <c r="A36" s="9" t="s">
        <v>90</v>
      </c>
      <c r="B36" s="9" t="s">
        <v>91</v>
      </c>
      <c r="C36" s="10" t="n">
        <v>3</v>
      </c>
      <c r="D36" s="9" t="s">
        <v>193</v>
      </c>
      <c r="E36" s="9" t="s">
        <v>194</v>
      </c>
    </row>
    <row r="37" customFormat="false" ht="15" hidden="false" customHeight="false" outlineLevel="0" collapsed="false">
      <c r="A37" s="9" t="s">
        <v>90</v>
      </c>
      <c r="B37" s="9" t="s">
        <v>91</v>
      </c>
      <c r="C37" s="10" t="n">
        <v>4</v>
      </c>
      <c r="D37" s="9" t="s">
        <v>195</v>
      </c>
      <c r="E37" s="9" t="s">
        <v>163</v>
      </c>
    </row>
    <row r="38" customFormat="false" ht="23.85" hidden="false" customHeight="false" outlineLevel="0" collapsed="false">
      <c r="A38" s="9" t="s">
        <v>90</v>
      </c>
      <c r="B38" s="9" t="s">
        <v>91</v>
      </c>
      <c r="C38" s="10" t="n">
        <v>5</v>
      </c>
      <c r="D38" s="9" t="s">
        <v>196</v>
      </c>
      <c r="E38" s="9" t="s">
        <v>163</v>
      </c>
    </row>
    <row r="39" customFormat="false" ht="15" hidden="false" customHeight="false" outlineLevel="0" collapsed="false">
      <c r="A39" s="9" t="s">
        <v>98</v>
      </c>
      <c r="B39" s="9" t="s">
        <v>99</v>
      </c>
      <c r="C39" s="10" t="n">
        <v>1</v>
      </c>
      <c r="D39" s="9" t="s">
        <v>197</v>
      </c>
      <c r="E39" s="9" t="s">
        <v>168</v>
      </c>
    </row>
    <row r="40" customFormat="false" ht="15" hidden="false" customHeight="false" outlineLevel="0" collapsed="false">
      <c r="A40" s="9" t="s">
        <v>98</v>
      </c>
      <c r="B40" s="9" t="s">
        <v>99</v>
      </c>
      <c r="C40" s="10" t="n">
        <v>2</v>
      </c>
      <c r="D40" s="9" t="s">
        <v>198</v>
      </c>
      <c r="E40" s="9" t="s">
        <v>143</v>
      </c>
    </row>
    <row r="41" customFormat="false" ht="15" hidden="false" customHeight="false" outlineLevel="0" collapsed="false">
      <c r="A41" s="9" t="s">
        <v>98</v>
      </c>
      <c r="B41" s="9" t="s">
        <v>99</v>
      </c>
      <c r="C41" s="10" t="n">
        <v>3</v>
      </c>
      <c r="D41" s="9" t="s">
        <v>199</v>
      </c>
      <c r="E41" s="9" t="s">
        <v>163</v>
      </c>
    </row>
    <row r="42" customFormat="false" ht="23.85" hidden="false" customHeight="false" outlineLevel="0" collapsed="false">
      <c r="A42" s="9" t="s">
        <v>98</v>
      </c>
      <c r="B42" s="9" t="s">
        <v>99</v>
      </c>
      <c r="C42" s="10" t="n">
        <v>4</v>
      </c>
      <c r="D42" s="9" t="s">
        <v>200</v>
      </c>
      <c r="E42" s="9" t="s">
        <v>143</v>
      </c>
    </row>
    <row r="43" customFormat="false" ht="15" hidden="false" customHeight="false" outlineLevel="0" collapsed="false">
      <c r="A43" s="9" t="s">
        <v>98</v>
      </c>
      <c r="B43" s="9" t="s">
        <v>99</v>
      </c>
      <c r="C43" s="10" t="n">
        <v>5</v>
      </c>
      <c r="D43" s="9" t="s">
        <v>201</v>
      </c>
      <c r="E43" s="9" t="s">
        <v>202</v>
      </c>
    </row>
    <row r="44" customFormat="false" ht="23.85" hidden="false" customHeight="false" outlineLevel="0" collapsed="false">
      <c r="A44" s="9" t="s">
        <v>105</v>
      </c>
      <c r="B44" s="9" t="s">
        <v>106</v>
      </c>
      <c r="C44" s="10" t="n">
        <v>1</v>
      </c>
      <c r="D44" s="9" t="s">
        <v>203</v>
      </c>
      <c r="E44" s="9" t="s">
        <v>168</v>
      </c>
    </row>
    <row r="45" customFormat="false" ht="23.85" hidden="false" customHeight="false" outlineLevel="0" collapsed="false">
      <c r="A45" s="9" t="s">
        <v>105</v>
      </c>
      <c r="B45" s="9" t="s">
        <v>106</v>
      </c>
      <c r="C45" s="10" t="n">
        <v>2</v>
      </c>
      <c r="D45" s="9" t="s">
        <v>204</v>
      </c>
      <c r="E45" s="9" t="s">
        <v>205</v>
      </c>
    </row>
    <row r="46" customFormat="false" ht="15" hidden="false" customHeight="false" outlineLevel="0" collapsed="false">
      <c r="A46" s="9" t="s">
        <v>113</v>
      </c>
      <c r="B46" s="9" t="s">
        <v>114</v>
      </c>
      <c r="C46" s="10" t="n">
        <v>1</v>
      </c>
      <c r="D46" s="9" t="s">
        <v>206</v>
      </c>
      <c r="E46" s="9" t="s">
        <v>168</v>
      </c>
    </row>
    <row r="47" customFormat="false" ht="15" hidden="false" customHeight="false" outlineLevel="0" collapsed="false">
      <c r="A47" s="9" t="s">
        <v>113</v>
      </c>
      <c r="B47" s="9" t="s">
        <v>114</v>
      </c>
      <c r="C47" s="10" t="n">
        <v>2</v>
      </c>
      <c r="D47" s="9" t="s">
        <v>207</v>
      </c>
      <c r="E47" s="9" t="s">
        <v>165</v>
      </c>
    </row>
    <row r="48" customFormat="false" ht="15" hidden="false" customHeight="false" outlineLevel="0" collapsed="false">
      <c r="A48" s="9" t="s">
        <v>113</v>
      </c>
      <c r="B48" s="9" t="s">
        <v>114</v>
      </c>
      <c r="C48" s="10" t="n">
        <v>3</v>
      </c>
      <c r="D48" s="9" t="s">
        <v>208</v>
      </c>
      <c r="E48" s="9" t="s">
        <v>143</v>
      </c>
    </row>
    <row r="49" customFormat="false" ht="15" hidden="false" customHeight="false" outlineLevel="0" collapsed="false">
      <c r="A49" s="9" t="s">
        <v>113</v>
      </c>
      <c r="B49" s="9" t="s">
        <v>114</v>
      </c>
      <c r="C49" s="10" t="n">
        <v>4</v>
      </c>
      <c r="D49" s="9" t="s">
        <v>209</v>
      </c>
      <c r="E49" s="9" t="s">
        <v>163</v>
      </c>
    </row>
    <row r="50" customFormat="false" ht="15" hidden="false" customHeight="false" outlineLevel="0" collapsed="false">
      <c r="A50" s="9" t="s">
        <v>113</v>
      </c>
      <c r="B50" s="9" t="s">
        <v>114</v>
      </c>
      <c r="C50" s="10" t="n">
        <v>5</v>
      </c>
      <c r="D50" s="9" t="s">
        <v>210</v>
      </c>
      <c r="E50" s="9" t="s">
        <v>211</v>
      </c>
    </row>
    <row r="51" customFormat="false" ht="15" hidden="false" customHeight="false" outlineLevel="0" collapsed="false">
      <c r="A51" s="9" t="s">
        <v>120</v>
      </c>
      <c r="B51" s="9" t="s">
        <v>121</v>
      </c>
      <c r="C51" s="10" t="n">
        <v>1</v>
      </c>
      <c r="D51" s="9" t="s">
        <v>212</v>
      </c>
      <c r="E51" s="9" t="s">
        <v>180</v>
      </c>
    </row>
    <row r="52" customFormat="false" ht="23.85" hidden="false" customHeight="false" outlineLevel="0" collapsed="false">
      <c r="A52" s="9" t="s">
        <v>127</v>
      </c>
      <c r="B52" s="9" t="s">
        <v>128</v>
      </c>
      <c r="C52" s="10" t="n">
        <v>1</v>
      </c>
      <c r="D52" s="9" t="s">
        <v>213</v>
      </c>
      <c r="E52" s="9" t="s">
        <v>214</v>
      </c>
    </row>
  </sheetData>
  <autoFilter ref="A1:E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2026-10-21T04:28:41Z</dcterms:created>
  <dc:creator>openpyxl</dc:creator>
  <dc:description/>
  <dc:language>en-US</dc:language>
  <cp:lastModifiedBy/>
  <dcterms:modified xsi:type="dcterms:W3CDTF">2026-10-21T04:28:41Z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